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katsani\Downloads\"/>
    </mc:Choice>
  </mc:AlternateContent>
  <xr:revisionPtr revIDLastSave="0" documentId="8_{36748A38-27FF-4322-81B1-F071C1A3B46B}" xr6:coauthVersionLast="47" xr6:coauthVersionMax="47" xr10:uidLastSave="{00000000-0000-0000-0000-000000000000}"/>
  <bookViews>
    <workbookView xWindow="-108" yWindow="-108" windowWidth="23256" windowHeight="12576" activeTab="1" xr2:uid="{AE06EF7B-00BD-4A98-A36A-F69EFE6C7728}"/>
  </bookViews>
  <sheets>
    <sheet name="totals" sheetId="5" r:id="rId1"/>
    <sheet name="credit_debit" sheetId="1" r:id="rId2"/>
  </sheets>
  <definedNames>
    <definedName name="_xlnm._FilterDatabase" localSheetId="1" hidden="1">credit_debit!$A$2:$F$44</definedName>
    <definedName name="_xlcn.WorksheetConnection_credit_debitA2F1048576" hidden="1">credit_debit!$A$2:$F$1048576</definedName>
  </definedNames>
  <calcPr calcId="191029"/>
  <extLst>
    <ext xmlns:x15="http://schemas.microsoft.com/office/spreadsheetml/2010/11/main" uri="{841E416B-1EF1-43b6-AB56-02D37102CBD5}">
      <x15:pivotCaches>
        <pivotCache cacheId="0" r:id="rId3"/>
        <pivotCache cacheId="1" r:id="rId4"/>
      </x15:pivotCaches>
    </ext>
    <ext xmlns:x15="http://schemas.microsoft.com/office/spreadsheetml/2010/11/main" uri="{983426D0-5260-488c-9760-48F4B6AC55F4}">
      <x15:pivotTableReferences>
        <x15:pivotTableReference r:id="rId5"/>
        <x15:pivotTableReference r:id="rId6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 1" name="Range 1" connection="WorksheetConnection_credit_debit!$A$2:$F$104857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1" l="1"/>
  <c r="E40" i="1"/>
  <c r="F39" i="1"/>
  <c r="E39" i="1"/>
  <c r="E38" i="1"/>
  <c r="F13" i="1"/>
  <c r="E13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F38" i="1"/>
  <c r="F4" i="1"/>
  <c r="F5" i="1"/>
  <c r="F6" i="1"/>
  <c r="F7" i="1"/>
  <c r="F8" i="1"/>
  <c r="F9" i="1"/>
  <c r="F10" i="1"/>
  <c r="F11" i="1"/>
  <c r="F12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" i="1"/>
  <c r="E4" i="1"/>
  <c r="E5" i="1"/>
  <c r="E6" i="1"/>
  <c r="E7" i="1"/>
  <c r="E8" i="1"/>
  <c r="E9" i="1"/>
  <c r="E10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C7AB0A-DD02-4DF6-A405-CA6000AC16C2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98449A8-02D8-4272-B845-8D9B64E5CC78}" name="WorksheetConnection_credit_debit!$A$2:$F$1048576" type="102" refreshedVersion="7" minRefreshableVersion="5" saveData="1">
    <extLst>
      <ext xmlns:x15="http://schemas.microsoft.com/office/spreadsheetml/2010/11/main" uri="{DE250136-89BD-433C-8126-D09CA5730AF9}">
        <x15:connection id="Range 1" autoDelete="1">
          <x15:rangePr sourceName="_xlcn.WorksheetConnection_credit_debitA2F1048576"/>
        </x15:connection>
      </ext>
    </extLst>
  </connection>
</connections>
</file>

<file path=xl/sharedStrings.xml><?xml version="1.0" encoding="utf-8"?>
<sst xmlns="http://schemas.openxmlformats.org/spreadsheetml/2006/main" count="101" uniqueCount="17">
  <si>
    <t xml:space="preserve">Ημερομηνία </t>
  </si>
  <si>
    <t xml:space="preserve">Είδος </t>
  </si>
  <si>
    <t>Πόσο</t>
  </si>
  <si>
    <t>Εσοδα</t>
  </si>
  <si>
    <t>Έξοδα</t>
  </si>
  <si>
    <t>Μισθός</t>
  </si>
  <si>
    <t>Εσοδα - Έξοδα</t>
  </si>
  <si>
    <t>Τύπος</t>
  </si>
  <si>
    <t>Ενοίκιο</t>
  </si>
  <si>
    <t>Πάγια Έξοδα</t>
  </si>
  <si>
    <t>Super Market</t>
  </si>
  <si>
    <t>Δώρα</t>
  </si>
  <si>
    <t>Διασκέδαση</t>
  </si>
  <si>
    <t>ΜΗΝΑΣ</t>
  </si>
  <si>
    <t>ΕΤΟΣ</t>
  </si>
  <si>
    <t>Έσοδα - Έξοδα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</si>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</sst>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sz val="18"/>
      <color theme="1"/>
      <name val="Calibri"/>
      <family val="2"/>
      <charset val="161"/>
      <scheme val="minor"/>
    </font>
    <font>
      <b/>
      <sz val="24"/>
      <color rgb="FFFF0000"/>
      <name val="Calibri"/>
      <family val="2"/>
      <charset val="161"/>
      <scheme val="minor"/>
    </font>
    <font>
      <b/>
      <sz val="24"/>
      <color theme="4" tint="-0.249977111117893"/>
      <name val="Calibri"/>
      <family val="2"/>
      <charset val="161"/>
      <scheme val="minor"/>
    </font>
    <font>
      <sz val="11"/>
      <color rgb="FFFF0000"/>
      <name val="Calibri"/>
      <family val="2"/>
      <charset val="161"/>
    </font>
    <font>
      <b/>
      <sz val="11"/>
      <color rgb="FF00800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 quotePrefix="1"/>
    <xf numFmtId="14" fontId="0" fillId="0" borderId="0" xfId="0" applyNumberFormat="1"/>
    <xf numFmtId="0" fontId="0" fillId="0" borderId="1" xfId="0" applyBorder="1"/>
    <xf numFmtId="14" fontId="0" fillId="0" borderId="0" xfId="0" quotePrefix="1" applyNumberFormat="1"/>
    <xf numFmtId="4" fontId="0" fillId="0" borderId="0" xfId="0" applyNumberFormat="1"/>
    <xf numFmtId="14" fontId="1" fillId="0" borderId="0" xfId="0" applyNumberFormat="1" applyFont="1" applyAlignment="1">
      <alignment horizontal="centerContinuous"/>
    </xf>
    <xf numFmtId="14" fontId="0" fillId="0" borderId="1" xfId="0" applyNumberFormat="1" applyBorder="1"/>
    <xf numFmtId="0" fontId="0" fillId="0" borderId="1" xfId="0" applyFill="1" applyBorder="1"/>
    <xf numFmtId="14" fontId="2" fillId="0" borderId="0" xfId="0" applyNumberFormat="1" applyFont="1" applyAlignment="1"/>
    <xf numFmtId="14" fontId="3" fillId="0" borderId="0" xfId="0" applyNumberFormat="1" applyFont="1" applyAlignment="1">
      <alignment horizontal="centerContinuous"/>
    </xf>
    <xf numFmtId="14" fontId="4" fillId="0" borderId="0" xfId="0" applyNumberFormat="1" applyFont="1" applyAlignment="1">
      <alignment horizontal="centerContinuous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Table" Target="pivotTables/pivotTable2.xml"/><Relationship Id="rId11" Type="http://schemas.openxmlformats.org/officeDocument/2006/relationships/powerPivotData" Target="model/item.data"/><Relationship Id="rId5" Type="http://schemas.openxmlformats.org/officeDocument/2006/relationships/pivotTable" Target="pivotTables/pivotTabl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Έξοδα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2</c:v>
              </c:pt>
              <c:pt idx="1">
                <c:v>3</c:v>
              </c:pt>
              <c:pt idx="2">
                <c:v>5</c:v>
              </c:pt>
              <c:pt idx="3">
                <c:v>8</c:v>
              </c:pt>
              <c:pt idx="4">
                <c:v>9</c:v>
              </c:pt>
            </c:strLit>
          </c:cat>
          <c:val>
            <c:numLit>
              <c:formatCode>General</c:formatCode>
              <c:ptCount val="5"/>
              <c:pt idx="0">
                <c:v>2497</c:v>
              </c:pt>
              <c:pt idx="1">
                <c:v>1100</c:v>
              </c:pt>
              <c:pt idx="2">
                <c:v>350</c:v>
              </c:pt>
              <c:pt idx="3">
                <c:v>350</c:v>
              </c:pt>
              <c:pt idx="4">
                <c:v>350</c:v>
              </c:pt>
            </c:numLit>
          </c:val>
          <c:extLst>
            <c:ext xmlns:c16="http://schemas.microsoft.com/office/drawing/2014/chart" uri="{C3380CC4-5D6E-409C-BE32-E72D297353CC}">
              <c16:uniqueId val="{00000008-2617-4DAF-9D9A-033ACFF88AFF}"/>
            </c:ext>
          </c:extLst>
        </c:ser>
        <c:ser>
          <c:idx val="1"/>
          <c:order val="1"/>
          <c:tx>
            <c:v>Εσοδα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2</c:v>
              </c:pt>
              <c:pt idx="1">
                <c:v>3</c:v>
              </c:pt>
              <c:pt idx="2">
                <c:v>5</c:v>
              </c:pt>
              <c:pt idx="3">
                <c:v>8</c:v>
              </c:pt>
              <c:pt idx="4">
                <c:v>9</c:v>
              </c:pt>
            </c:strLit>
          </c:cat>
          <c:val>
            <c:numLit>
              <c:formatCode>General</c:formatCode>
              <c:ptCount val="5"/>
              <c:pt idx="0">
                <c:v>3110</c:v>
              </c:pt>
              <c:pt idx="1">
                <c:v>2000</c:v>
              </c:pt>
              <c:pt idx="2">
                <c:v>1100</c:v>
              </c:pt>
              <c:pt idx="3">
                <c:v>1000</c:v>
              </c:pt>
              <c:pt idx="4">
                <c:v>1000</c:v>
              </c:pt>
            </c:numLit>
          </c:val>
          <c:extLst>
            <c:ext xmlns:c16="http://schemas.microsoft.com/office/drawing/2014/chart" uri="{C3380CC4-5D6E-409C-BE32-E72D297353CC}">
              <c16:uniqueId val="{00000009-2617-4DAF-9D9A-033ACFF88A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96093456"/>
        <c:axId val="796096408"/>
      </c:barChart>
      <c:catAx>
        <c:axId val="796093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796096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960964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9609345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[Lesson 3 credit_debit.xlsm]PivotChartTable1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Super Market
Έξοδα</c:v>
              </c:pt>
              <c:pt idx="1">
                <c:v>Διασκέδαση
Έξοδα</c:v>
              </c:pt>
              <c:pt idx="2">
                <c:v>Δώρα
Έξοδα</c:v>
              </c:pt>
              <c:pt idx="3">
                <c:v>Ενοίκιο
Έξοδα</c:v>
              </c:pt>
              <c:pt idx="4">
                <c:v>Πάγια Έξοδα
Έξοδα</c:v>
              </c:pt>
              <c:pt idx="5">
                <c:v>Δώρα
Εσοδα</c:v>
              </c:pt>
              <c:pt idx="6">
                <c:v>Μισθός
Εσοδα</c:v>
              </c:pt>
            </c:strLit>
          </c:cat>
          <c:val>
            <c:numLit>
              <c:formatCode>General</c:formatCode>
              <c:ptCount val="7"/>
              <c:pt idx="0">
                <c:v>1219</c:v>
              </c:pt>
              <c:pt idx="1">
                <c:v>544</c:v>
              </c:pt>
              <c:pt idx="2">
                <c:v>300</c:v>
              </c:pt>
              <c:pt idx="3">
                <c:v>2050</c:v>
              </c:pt>
              <c:pt idx="4">
                <c:v>534</c:v>
              </c:pt>
              <c:pt idx="5">
                <c:v>600</c:v>
              </c:pt>
              <c:pt idx="6">
                <c:v>7610</c:v>
              </c:pt>
            </c:numLit>
          </c:val>
          <c:extLst>
            <c:ext xmlns:c16="http://schemas.microsoft.com/office/drawing/2014/chart" uri="{C3380CC4-5D6E-409C-BE32-E72D297353CC}">
              <c16:uniqueId val="{00000008-0605-4E80-9FE6-27BB24366F7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794764056"/>
        <c:axId val="794772584"/>
      </c:barChart>
      <c:catAx>
        <c:axId val="7947640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79477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947725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79476405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[Lesson 3 credit_debit.xlsm]PivotChartTable2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144780</xdr:colOff>
      <xdr:row>3</xdr:row>
      <xdr:rowOff>41910</xdr:rowOff>
    </xdr:from>
    <xdr:to>
      <xdr:col>9</xdr:col>
      <xdr:colOff>281940</xdr:colOff>
      <xdr:row>19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22860</xdr:rowOff>
        </xdr:from>
        <xdr:to>
          <xdr:col>11</xdr:col>
          <xdr:colOff>579120</xdr:colOff>
          <xdr:row>2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0</xdr:row>
          <xdr:rowOff>15240</xdr:rowOff>
        </xdr:from>
        <xdr:to>
          <xdr:col>9</xdr:col>
          <xdr:colOff>228600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Καταχώρηση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327660</xdr:colOff>
      <xdr:row>3</xdr:row>
      <xdr:rowOff>45720</xdr:rowOff>
    </xdr:from>
    <xdr:to>
      <xdr:col>17</xdr:col>
      <xdr:colOff>342900</xdr:colOff>
      <xdr:row>19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tsani Korina" refreshedDate="44708.640060185186" backgroundQuery="1" createdVersion="7" refreshedVersion="7" minRefreshableVersion="3" recordCount="0" supportSubquery="1" supportAdvancedDrill="1" xr:uid="{E0984555-19D0-4C82-BCF7-BD0D50076FD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Sum of Πόσο]" caption="Sum of Πόσο" numFmtId="0" hierarchy="8" level="32767"/>
    <cacheField name="[Range 1].[ΜΗΝΑΣ].[ΜΗΝΑΣ]" caption="ΜΗΝΑΣ" numFmtId="0" hierarchy="4" level="1">
      <sharedItems containsSemiMixedTypes="0" containsString="0" containsNumber="1" containsInteger="1" minValue="2" maxValue="9" count="5">
        <n v="2"/>
        <n v="3"/>
        <n v="5"/>
        <n v="8"/>
        <n v="9"/>
      </sharedItems>
      <extLst>
        <ext xmlns:x15="http://schemas.microsoft.com/office/spreadsheetml/2010/11/main" uri="{4F2E5C28-24EA-4eb8-9CBF-B6C8F9C3D259}">
          <x15:cachedUniqueNames>
            <x15:cachedUniqueName index="0" name="[Range 1].[ΜΗΝΑΣ].&amp;[2]"/>
            <x15:cachedUniqueName index="1" name="[Range 1].[ΜΗΝΑΣ].&amp;[3]"/>
            <x15:cachedUniqueName index="2" name="[Range 1].[ΜΗΝΑΣ].&amp;[5]"/>
            <x15:cachedUniqueName index="3" name="[Range 1].[ΜΗΝΑΣ].&amp;[8]"/>
            <x15:cachedUniqueName index="4" name="[Range 1].[ΜΗΝΑΣ].&amp;[9]"/>
          </x15:cachedUniqueNames>
        </ext>
      </extLst>
    </cacheField>
    <cacheField name="[Range 1].[Τύπος].[Τύπος]" caption="Τύπος" numFmtId="0" hierarchy="1" level="1">
      <sharedItems count="2">
        <s v="Έξοδα"/>
        <s v="Εσοδα"/>
      </sharedItems>
    </cacheField>
    <cacheField name="[Range 1].[ΕΤΟΣ].[ΕΤΟΣ]" caption="ΕΤΟΣ" numFmtId="0" hierarchy="5" level="1">
      <sharedItems containsSemiMixedTypes="0" containsNonDate="0" containsString="0" containsNumber="1" containsInteger="1" minValue="2022" maxValue="2022" count="1">
        <n v="2022"/>
      </sharedItems>
      <extLst>
        <ext xmlns:x15="http://schemas.microsoft.com/office/spreadsheetml/2010/11/main" uri="{4F2E5C28-24EA-4eb8-9CBF-B6C8F9C3D259}">
          <x15:cachedUniqueNames>
            <x15:cachedUniqueName index="0" name="[Range 1].[ΕΤΟΣ].&amp;[2022]"/>
          </x15:cachedUniqueNames>
        </ext>
      </extLst>
    </cacheField>
  </cacheFields>
  <cacheHierarchies count="9">
    <cacheHierarchy uniqueName="[Range 1].[Ημερομηνία]" caption="Ημερομηνία" attribute="1" time="1" defaultMemberUniqueName="[Range 1].[Ημερομηνία].[All]" allUniqueName="[Range 1].[Ημερομηνία].[All]" dimensionUniqueName="[Range 1]" displayFolder="" count="0" memberValueDatatype="7" unbalanced="0"/>
    <cacheHierarchy uniqueName="[Range 1].[Τύπος]" caption="Τύπος" attribute="1" defaultMemberUniqueName="[Range 1].[Τύπος].[All]" allUniqueName="[Range 1].[Τύπος].[All]" dimensionUniqueName="[Range 1]" displayFolder="" count="2" memberValueDatatype="130" unbalanced="0">
      <fieldsUsage count="2">
        <fieldUsage x="-1"/>
        <fieldUsage x="2"/>
      </fieldsUsage>
    </cacheHierarchy>
    <cacheHierarchy uniqueName="[Range 1].[Είδος]" caption="Είδος" attribute="1" defaultMemberUniqueName="[Range 1].[Είδος].[All]" allUniqueName="[Range 1].[Είδος].[All]" dimensionUniqueName="[Range 1]" displayFolder="" count="0" memberValueDatatype="130" unbalanced="0"/>
    <cacheHierarchy uniqueName="[Range 1].[Πόσο]" caption="Πόσο" attribute="1" defaultMemberUniqueName="[Range 1].[Πόσο].[All]" allUniqueName="[Range 1].[Πόσο].[All]" dimensionUniqueName="[Range 1]" displayFolder="" count="0" memberValueDatatype="20" unbalanced="0"/>
    <cacheHierarchy uniqueName="[Range 1].[ΜΗΝΑΣ]" caption="ΜΗΝΑΣ" attribute="1" defaultMemberUniqueName="[Range 1].[ΜΗΝΑΣ].[All]" allUniqueName="[Range 1].[ΜΗΝΑΣ].[All]" dimensionUniqueName="[Range 1]" displayFolder="" count="2" memberValueDatatype="20" unbalanced="0">
      <fieldsUsage count="2">
        <fieldUsage x="-1"/>
        <fieldUsage x="1"/>
      </fieldsUsage>
    </cacheHierarchy>
    <cacheHierarchy uniqueName="[Range 1].[ΕΤΟΣ]" caption="ΕΤΟΣ" attribute="1" defaultMemberUniqueName="[Range 1].[ΕΤΟΣ].[All]" allUniqueName="[Range 1].[ΕΤΟΣ].[All]" dimensionUniqueName="[Range 1]" displayFolder="" count="2" memberValueDatatype="20" unbalanced="0">
      <fieldsUsage count="2">
        <fieldUsage x="-1"/>
        <fieldUsage x="3"/>
      </fieldsUsage>
    </cacheHierarchy>
    <cacheHierarchy uniqueName="[Measures].[__XL_Count Range 1]" caption="__XL_Count Range 1" measure="1" displayFolder="" measureGroup="Range 1" count="0" hidden="1"/>
    <cacheHierarchy uniqueName="[Measures].[__No measures defined]" caption="__No measures defined" measure="1" displayFolder="" count="0" hidden="1"/>
    <cacheHierarchy uniqueName="[Measures].[Sum of Πόσο]" caption="Sum of Πόσο" measure="1" displayFolder="" measureGroup="Range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Range 1" uniqueName="[Range 1]" caption="Range 1"/>
  </dimensions>
  <measureGroups count="1">
    <measureGroup name="Range 1" caption="Range 1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6561829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tsani Korina" refreshedDate="44708.64012048611" backgroundQuery="1" createdVersion="7" refreshedVersion="7" minRefreshableVersion="3" recordCount="0" supportSubquery="1" supportAdvancedDrill="1" xr:uid="{0F953E0D-F27C-47E0-B01F-660BE8D394C1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Range 1].[Είδος].[Είδος]" caption="Είδος" numFmtId="0" hierarchy="2" level="1">
      <sharedItems containsBlank="1" count="7">
        <s v="Super Market"/>
        <s v="Διασκέδαση"/>
        <s v="Δώρα"/>
        <s v="Ενοίκιο"/>
        <s v="Πάγια Έξοδα"/>
        <s v="Μισθός"/>
        <m u="1"/>
      </sharedItems>
    </cacheField>
    <cacheField name="[Measures].[Sum of Πόσο]" caption="Sum of Πόσο" numFmtId="0" hierarchy="8" level="32767"/>
    <cacheField name="[Range 1].[Τύπος].[Τύπος]" caption="Τύπος" numFmtId="0" hierarchy="1" level="1">
      <sharedItems count="2">
        <s v="Έξοδα"/>
        <s v="Εσοδα"/>
      </sharedItems>
    </cacheField>
  </cacheFields>
  <cacheHierarchies count="9">
    <cacheHierarchy uniqueName="[Range 1].[Ημερομηνία]" caption="Ημερομηνία" attribute="1" time="1" defaultMemberUniqueName="[Range 1].[Ημερομηνία].[All]" allUniqueName="[Range 1].[Ημερομηνία].[All]" dimensionUniqueName="[Range 1]" displayFolder="" count="0" memberValueDatatype="7" unbalanced="0"/>
    <cacheHierarchy uniqueName="[Range 1].[Τύπος]" caption="Τύπος" attribute="1" defaultMemberUniqueName="[Range 1].[Τύπος].[All]" allUniqueName="[Range 1].[Τύπος].[All]" dimensionUniqueName="[Range 1]" displayFolder="" count="2" memberValueDatatype="130" unbalanced="0">
      <fieldsUsage count="2">
        <fieldUsage x="-1"/>
        <fieldUsage x="2"/>
      </fieldsUsage>
    </cacheHierarchy>
    <cacheHierarchy uniqueName="[Range 1].[Είδος]" caption="Είδος" attribute="1" defaultMemberUniqueName="[Range 1].[Είδος].[All]" allUniqueName="[Range 1].[Είδος].[All]" dimensionUniqueName="[Range 1]" displayFolder="" count="2" memberValueDatatype="130" unbalanced="0">
      <fieldsUsage count="2">
        <fieldUsage x="-1"/>
        <fieldUsage x="0"/>
      </fieldsUsage>
    </cacheHierarchy>
    <cacheHierarchy uniqueName="[Range 1].[Πόσο]" caption="Πόσο" attribute="1" defaultMemberUniqueName="[Range 1].[Πόσο].[All]" allUniqueName="[Range 1].[Πόσο].[All]" dimensionUniqueName="[Range 1]" displayFolder="" count="0" memberValueDatatype="20" unbalanced="0"/>
    <cacheHierarchy uniqueName="[Range 1].[ΜΗΝΑΣ]" caption="ΜΗΝΑΣ" attribute="1" defaultMemberUniqueName="[Range 1].[ΜΗΝΑΣ].[All]" allUniqueName="[Range 1].[ΜΗΝΑΣ].[All]" dimensionUniqueName="[Range 1]" displayFolder="" count="0" memberValueDatatype="20" unbalanced="0"/>
    <cacheHierarchy uniqueName="[Range 1].[ΕΤΟΣ]" caption="ΕΤΟΣ" attribute="1" defaultMemberUniqueName="[Range 1].[ΕΤΟΣ].[All]" allUniqueName="[Range 1].[ΕΤΟΣ].[All]" dimensionUniqueName="[Range 1]" displayFolder="" count="0" memberValueDatatype="20" unbalanced="0"/>
    <cacheHierarchy uniqueName="[Measures].[__XL_Count Range 1]" caption="__XL_Count Range 1" measure="1" displayFolder="" measureGroup="Range 1" count="0" hidden="1"/>
    <cacheHierarchy uniqueName="[Measures].[__No measures defined]" caption="__No measures defined" measure="1" displayFolder="" count="0" hidden="1"/>
    <cacheHierarchy uniqueName="[Measures].[Sum of Πόσο]" caption="Sum of Πόσο" measure="1" displayFolder="" measureGroup="Range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Range 1" uniqueName="[Range 1]" caption="Range 1"/>
  </dimensions>
  <measureGroups count="1">
    <measureGroup name="Range 1" caption="Range 1"/>
  </measureGroups>
  <maps count="1">
    <map measureGroup="0" dimension="1"/>
  </maps>
  <extLst>
    <ext xmlns:x14="http://schemas.microsoft.com/office/spreadsheetml/2009/9/main" uri="{725AE2AE-9491-48be-B2B4-4EB974FC3084}">
      <x14:pivotCacheDefinition pivotCacheId="192767767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82320C-D192-423B-849C-8CDB645B8FFA}" name="PivotChar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B11" firstHeaderRow="1" firstDataRow="1" firstDataCol="1"/>
  <pivotFields count="3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2">
    <field x="2"/>
    <field x="0"/>
  </rowFields>
  <rowItems count="10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2"/>
    </i>
    <i r="1">
      <x v="5"/>
    </i>
    <i t="grand">
      <x/>
    </i>
  </rowItems>
  <colItems count="1">
    <i/>
  </colItems>
  <dataFields count="1">
    <dataField name="Sum of Πόσο" fld="1" baseField="0" baseItem="0"/>
  </dataFields>
  <chartFormats count="15">
    <chartFormat chart="0" format="1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1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5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16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17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18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19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2" count="1" selected="0">
            <x v="1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0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2" count="1" selected="0">
            <x v="0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"/>
          </reference>
        </references>
      </pivotArea>
    </chartFormat>
    <chartFormat chart="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9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rowHierarchiesUsage count="2">
    <rowHierarchyUsage hierarchyUsage="1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0" columnCount="1" cacheId="1927677676">
        <x15:pivotRow count="1">
          <x15:c t="e">
            <x15:v/>
          </x15:c>
        </x15:pivotRow>
        <x15:pivotRow count="1">
          <x15:c>
            <x15:v>1219</x15:v>
          </x15:c>
        </x15:pivotRow>
        <x15:pivotRow count="1">
          <x15:c>
            <x15:v>544</x15:v>
          </x15:c>
        </x15:pivotRow>
        <x15:pivotRow count="1">
          <x15:c>
            <x15:v>300</x15:v>
          </x15:c>
        </x15:pivotRow>
        <x15:pivotRow count="1">
          <x15:c>
            <x15:v>2050</x15:v>
          </x15:c>
        </x15:pivotRow>
        <x15:pivotRow count="1">
          <x15:c>
            <x15:v>534</x15:v>
          </x15:c>
        </x15:pivotRow>
        <x15:pivotRow count="1">
          <x15:c t="e">
            <x15:v/>
          </x15:c>
        </x15:pivotRow>
        <x15:pivotRow count="1">
          <x15:c>
            <x15:v>600</x15:v>
          </x15:c>
        </x15:pivotRow>
        <x15:pivotRow count="1">
          <x15:c>
            <x15:v>7610</x15:v>
          </x15:c>
        </x15:pivotRow>
        <x15:pivotRow count="1">
          <x15:c>
            <x15:v>12857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credit_debit!$A$2:$F$1048576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E285F-D40E-4C32-9842-7B4BB6AA3B52}" name="PivotChar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1:D8" firstHeaderRow="1" firstDataRow="2" firstDataCol="1"/>
  <pivotFields count="4">
    <pivotField dataField="1" subtotalTop="0" showAll="0" defaultSubtotal="0"/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">
        <item x="0"/>
      </items>
    </pivotField>
  </pivotFields>
  <rowFields count="2">
    <field x="1"/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Πόσο" fld="0" baseField="0" baseItem="0"/>
  </dataFields>
  <chartFormats count="3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Hierarchies count="9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rowHierarchiesUsage count="2">
    <rowHierarchyUsage hierarchyUsage="4"/>
    <rowHierarchyUsage hierarchyUsage="5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3" cacheId="656182906">
        <x15:pivotRow count="3">
          <x15:c>
            <x15:v>2497</x15:v>
          </x15:c>
          <x15:c>
            <x15:v>3110</x15:v>
          </x15:c>
          <x15:c>
            <x15:v>5607</x15:v>
          </x15:c>
        </x15:pivotRow>
        <x15:pivotRow count="3">
          <x15:c>
            <x15:v>1100</x15:v>
          </x15:c>
          <x15:c>
            <x15:v>2000</x15:v>
          </x15:c>
          <x15:c>
            <x15:v>3100</x15:v>
          </x15:c>
        </x15:pivotRow>
        <x15:pivotRow count="3">
          <x15:c>
            <x15:v>350</x15:v>
          </x15:c>
          <x15:c>
            <x15:v>1100</x15:v>
          </x15:c>
          <x15:c>
            <x15:v>1450</x15:v>
          </x15:c>
        </x15:pivotRow>
        <x15:pivotRow count="3">
          <x15:c>
            <x15:v>350</x15:v>
          </x15:c>
          <x15:c>
            <x15:v>1000</x15:v>
          </x15:c>
          <x15:c>
            <x15:v>1350</x15:v>
          </x15:c>
        </x15:pivotRow>
        <x15:pivotRow count="3">
          <x15:c>
            <x15:v>350</x15:v>
          </x15:c>
          <x15:c>
            <x15:v>1000</x15:v>
          </x15:c>
          <x15:c>
            <x15:v>1350</x15:v>
          </x15:c>
        </x15:pivotRow>
        <x15:pivotRow count="3">
          <x15:c>
            <x15:v>4647</x15:v>
          </x15:c>
          <x15:c>
            <x15:v>8210</x15:v>
          </x15:c>
          <x15:c>
            <x15:v>12857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credit_debit!$A$2:$F$1048576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DA74-C497-400F-8A7D-C70D13F1661A}">
  <sheetPr codeName="Sheet5"/>
  <dimension ref="A1:R24"/>
  <sheetViews>
    <sheetView workbookViewId="0">
      <selection activeCell="M25" sqref="M25"/>
    </sheetView>
  </sheetViews>
  <sheetFormatPr defaultRowHeight="14.4" x14ac:dyDescent="0.3"/>
  <sheetData>
    <row r="1" spans="1:18" ht="31.2" x14ac:dyDescent="0.6">
      <c r="A1" s="13" t="s">
        <v>15</v>
      </c>
      <c r="B1" s="12"/>
      <c r="C1" s="12"/>
      <c r="D1" s="12"/>
      <c r="E1" s="12"/>
      <c r="F1" s="12"/>
      <c r="G1" s="12"/>
      <c r="H1" s="12"/>
      <c r="I1" s="12"/>
      <c r="J1" s="11"/>
      <c r="K1" s="11"/>
      <c r="L1" s="11"/>
      <c r="M1" s="11"/>
      <c r="N1" s="11"/>
      <c r="O1" s="11"/>
      <c r="P1" s="11"/>
      <c r="Q1" s="11"/>
      <c r="R1" s="11"/>
    </row>
    <row r="24" spans="7:7" x14ac:dyDescent="0.3">
      <c r="G24" t="s">
        <v>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4">
                <anchor moveWithCells="1" sizeWithCells="1">
                  <from>
                    <xdr:col>10</xdr:col>
                    <xdr:colOff>0</xdr:colOff>
                    <xdr:row>0</xdr:row>
                    <xdr:rowOff>22860</xdr:rowOff>
                  </from>
                  <to>
                    <xdr:col>11</xdr:col>
                    <xdr:colOff>579120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236220</xdr:colOff>
                    <xdr:row>0</xdr:row>
                    <xdr:rowOff>15240</xdr:rowOff>
                  </from>
                  <to>
                    <xdr:col>9</xdr:col>
                    <xdr:colOff>228600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4FEDF-B3EB-4281-BA1F-204BE87F7A45}">
  <sheetPr codeName="Sheet1"/>
  <dimension ref="A1:J48"/>
  <sheetViews>
    <sheetView tabSelected="1" workbookViewId="0">
      <selection activeCell="E9" sqref="E9"/>
    </sheetView>
  </sheetViews>
  <sheetFormatPr defaultRowHeight="14.4" x14ac:dyDescent="0.3"/>
  <cols>
    <col min="1" max="1" width="16.33203125" style="4" bestFit="1" customWidth="1"/>
    <col min="2" max="2" width="14.44140625" customWidth="1"/>
    <col min="3" max="3" width="19.21875" customWidth="1"/>
    <col min="4" max="4" width="15.88671875" customWidth="1"/>
    <col min="5" max="5" width="13.88671875" customWidth="1"/>
  </cols>
  <sheetData>
    <row r="1" spans="1:10" x14ac:dyDescent="0.3">
      <c r="A1" s="8" t="s">
        <v>6</v>
      </c>
      <c r="B1" s="2"/>
      <c r="C1" s="1"/>
      <c r="D1" s="1"/>
    </row>
    <row r="2" spans="1:10" x14ac:dyDescent="0.3">
      <c r="A2" s="9" t="s">
        <v>0</v>
      </c>
      <c r="B2" s="5" t="s">
        <v>7</v>
      </c>
      <c r="C2" s="5" t="s">
        <v>1</v>
      </c>
      <c r="D2" s="5" t="s">
        <v>2</v>
      </c>
      <c r="E2" s="10" t="s">
        <v>13</v>
      </c>
      <c r="F2" s="10" t="s">
        <v>14</v>
      </c>
    </row>
    <row r="3" spans="1:10" x14ac:dyDescent="0.3">
      <c r="A3" s="6">
        <v>44594</v>
      </c>
      <c r="B3" s="3" t="s">
        <v>3</v>
      </c>
      <c r="C3" t="s">
        <v>5</v>
      </c>
      <c r="D3" s="7">
        <v>1000</v>
      </c>
      <c r="E3">
        <f>MONTH(A3)</f>
        <v>2</v>
      </c>
      <c r="F3">
        <f>YEAR(A3)</f>
        <v>2022</v>
      </c>
    </row>
    <row r="4" spans="1:10" x14ac:dyDescent="0.3">
      <c r="A4" s="6">
        <v>44595</v>
      </c>
      <c r="B4" s="3" t="s">
        <v>3</v>
      </c>
      <c r="C4" t="s">
        <v>5</v>
      </c>
      <c r="D4" s="7">
        <v>555</v>
      </c>
      <c r="E4">
        <f t="shared" ref="E4:E29" si="0">MONTH(A4)</f>
        <v>2</v>
      </c>
      <c r="F4">
        <f t="shared" ref="F4:F29" si="1">YEAR(A4)</f>
        <v>2022</v>
      </c>
    </row>
    <row r="5" spans="1:10" x14ac:dyDescent="0.3">
      <c r="A5" s="6">
        <v>44596</v>
      </c>
      <c r="B5" s="6" t="s">
        <v>4</v>
      </c>
      <c r="C5" t="s">
        <v>8</v>
      </c>
      <c r="D5" s="7">
        <v>350</v>
      </c>
      <c r="E5">
        <f t="shared" si="0"/>
        <v>2</v>
      </c>
      <c r="F5">
        <f t="shared" si="1"/>
        <v>2022</v>
      </c>
    </row>
    <row r="6" spans="1:10" x14ac:dyDescent="0.3">
      <c r="A6" s="6">
        <v>44597</v>
      </c>
      <c r="B6" s="6" t="s">
        <v>4</v>
      </c>
      <c r="C6" t="s">
        <v>9</v>
      </c>
      <c r="D6" s="7">
        <v>150</v>
      </c>
      <c r="E6">
        <f t="shared" si="0"/>
        <v>2</v>
      </c>
      <c r="F6">
        <f t="shared" si="1"/>
        <v>2022</v>
      </c>
    </row>
    <row r="7" spans="1:10" x14ac:dyDescent="0.3">
      <c r="A7" s="6">
        <v>44598</v>
      </c>
      <c r="B7" s="3" t="s">
        <v>4</v>
      </c>
      <c r="C7" t="s">
        <v>10</v>
      </c>
      <c r="D7" s="7">
        <v>120</v>
      </c>
      <c r="E7">
        <f t="shared" si="0"/>
        <v>2</v>
      </c>
      <c r="F7">
        <f t="shared" si="1"/>
        <v>2022</v>
      </c>
    </row>
    <row r="8" spans="1:10" x14ac:dyDescent="0.3">
      <c r="A8" s="6">
        <v>44599</v>
      </c>
      <c r="B8" s="3" t="s">
        <v>4</v>
      </c>
      <c r="C8" t="s">
        <v>9</v>
      </c>
      <c r="D8">
        <v>12</v>
      </c>
      <c r="E8">
        <f t="shared" si="0"/>
        <v>2</v>
      </c>
      <c r="F8">
        <f t="shared" si="1"/>
        <v>2022</v>
      </c>
    </row>
    <row r="9" spans="1:10" x14ac:dyDescent="0.3">
      <c r="A9" s="6">
        <v>44600</v>
      </c>
      <c r="B9" s="3" t="s">
        <v>4</v>
      </c>
      <c r="C9" t="s">
        <v>10</v>
      </c>
      <c r="D9">
        <v>90</v>
      </c>
      <c r="E9">
        <f t="shared" si="0"/>
        <v>2</v>
      </c>
      <c r="F9">
        <f t="shared" si="1"/>
        <v>2022</v>
      </c>
    </row>
    <row r="10" spans="1:10" x14ac:dyDescent="0.3">
      <c r="A10" s="6">
        <v>44601</v>
      </c>
      <c r="B10" s="3" t="s">
        <v>4</v>
      </c>
      <c r="C10" t="s">
        <v>12</v>
      </c>
      <c r="D10">
        <v>27</v>
      </c>
      <c r="E10">
        <f t="shared" si="0"/>
        <v>2</v>
      </c>
      <c r="F10">
        <f t="shared" si="1"/>
        <v>2022</v>
      </c>
      <c r="J10" s="14"/>
    </row>
    <row r="11" spans="1:10" x14ac:dyDescent="0.3">
      <c r="A11" s="6">
        <v>44602</v>
      </c>
      <c r="B11" s="3" t="s">
        <v>4</v>
      </c>
      <c r="C11" t="s">
        <v>11</v>
      </c>
      <c r="D11">
        <v>150</v>
      </c>
      <c r="E11">
        <f t="shared" si="0"/>
        <v>2</v>
      </c>
      <c r="F11">
        <f t="shared" si="1"/>
        <v>2022</v>
      </c>
    </row>
    <row r="12" spans="1:10" x14ac:dyDescent="0.3">
      <c r="A12" s="6">
        <v>44603</v>
      </c>
      <c r="B12" s="3" t="s">
        <v>4</v>
      </c>
      <c r="C12" t="s">
        <v>12</v>
      </c>
      <c r="D12">
        <v>80</v>
      </c>
      <c r="E12">
        <f t="shared" si="0"/>
        <v>2</v>
      </c>
      <c r="F12">
        <f t="shared" si="1"/>
        <v>2022</v>
      </c>
    </row>
    <row r="13" spans="1:10" x14ac:dyDescent="0.3">
      <c r="A13" s="6">
        <v>44604</v>
      </c>
      <c r="B13" t="s">
        <v>4</v>
      </c>
      <c r="C13" t="s">
        <v>10</v>
      </c>
      <c r="D13">
        <v>15</v>
      </c>
      <c r="E13">
        <f t="shared" ref="E13" si="2">MONTH(A13)</f>
        <v>2</v>
      </c>
      <c r="F13">
        <f t="shared" ref="F13" si="3">YEAR(A13)</f>
        <v>2022</v>
      </c>
    </row>
    <row r="14" spans="1:10" x14ac:dyDescent="0.3">
      <c r="A14" s="6">
        <v>44605</v>
      </c>
      <c r="B14" t="s">
        <v>4</v>
      </c>
      <c r="C14" t="s">
        <v>10</v>
      </c>
      <c r="D14">
        <v>15</v>
      </c>
      <c r="E14">
        <f t="shared" si="0"/>
        <v>2</v>
      </c>
      <c r="F14">
        <f t="shared" si="1"/>
        <v>2022</v>
      </c>
    </row>
    <row r="15" spans="1:10" x14ac:dyDescent="0.3">
      <c r="A15" s="6">
        <v>44606</v>
      </c>
      <c r="B15" t="s">
        <v>4</v>
      </c>
      <c r="C15" t="s">
        <v>10</v>
      </c>
      <c r="D15">
        <v>122</v>
      </c>
      <c r="E15">
        <f t="shared" si="0"/>
        <v>2</v>
      </c>
      <c r="F15">
        <f t="shared" si="1"/>
        <v>2022</v>
      </c>
    </row>
    <row r="16" spans="1:10" x14ac:dyDescent="0.3">
      <c r="A16" s="6">
        <v>44607</v>
      </c>
      <c r="B16" t="s">
        <v>4</v>
      </c>
      <c r="C16" t="s">
        <v>12</v>
      </c>
      <c r="D16">
        <v>125</v>
      </c>
      <c r="E16">
        <f t="shared" si="0"/>
        <v>2</v>
      </c>
      <c r="F16">
        <f t="shared" si="1"/>
        <v>2022</v>
      </c>
    </row>
    <row r="17" spans="1:6" x14ac:dyDescent="0.3">
      <c r="A17" s="6">
        <v>44608</v>
      </c>
      <c r="B17" s="3" t="s">
        <v>3</v>
      </c>
      <c r="C17" t="s">
        <v>5</v>
      </c>
      <c r="D17" s="7">
        <v>1000</v>
      </c>
      <c r="E17">
        <f t="shared" si="0"/>
        <v>2</v>
      </c>
      <c r="F17">
        <f t="shared" si="1"/>
        <v>2022</v>
      </c>
    </row>
    <row r="18" spans="1:6" x14ac:dyDescent="0.3">
      <c r="A18" s="6">
        <v>44609</v>
      </c>
      <c r="B18" s="3" t="s">
        <v>3</v>
      </c>
      <c r="C18" t="s">
        <v>5</v>
      </c>
      <c r="D18" s="7">
        <v>555</v>
      </c>
      <c r="E18">
        <f t="shared" si="0"/>
        <v>2</v>
      </c>
      <c r="F18">
        <f t="shared" si="1"/>
        <v>2022</v>
      </c>
    </row>
    <row r="19" spans="1:6" x14ac:dyDescent="0.3">
      <c r="A19" s="6">
        <v>44610</v>
      </c>
      <c r="B19" s="6" t="s">
        <v>4</v>
      </c>
      <c r="C19" t="s">
        <v>8</v>
      </c>
      <c r="D19" s="7">
        <v>350</v>
      </c>
      <c r="E19">
        <f t="shared" si="0"/>
        <v>2</v>
      </c>
      <c r="F19">
        <f t="shared" si="1"/>
        <v>2022</v>
      </c>
    </row>
    <row r="20" spans="1:6" x14ac:dyDescent="0.3">
      <c r="A20" s="6">
        <v>44611</v>
      </c>
      <c r="B20" s="6" t="s">
        <v>4</v>
      </c>
      <c r="C20" t="s">
        <v>9</v>
      </c>
      <c r="D20" s="7">
        <v>150</v>
      </c>
      <c r="E20">
        <f t="shared" si="0"/>
        <v>2</v>
      </c>
      <c r="F20">
        <f t="shared" si="1"/>
        <v>2022</v>
      </c>
    </row>
    <row r="21" spans="1:6" x14ac:dyDescent="0.3">
      <c r="A21" s="6">
        <v>44612</v>
      </c>
      <c r="B21" s="3" t="s">
        <v>4</v>
      </c>
      <c r="C21" t="s">
        <v>10</v>
      </c>
      <c r="D21" s="7">
        <v>120</v>
      </c>
      <c r="E21">
        <f t="shared" si="0"/>
        <v>2</v>
      </c>
      <c r="F21">
        <f t="shared" si="1"/>
        <v>2022</v>
      </c>
    </row>
    <row r="22" spans="1:6" x14ac:dyDescent="0.3">
      <c r="A22" s="6">
        <v>44613</v>
      </c>
      <c r="B22" s="3" t="s">
        <v>4</v>
      </c>
      <c r="C22" t="s">
        <v>9</v>
      </c>
      <c r="D22">
        <v>12</v>
      </c>
      <c r="E22">
        <f t="shared" si="0"/>
        <v>2</v>
      </c>
      <c r="F22">
        <f t="shared" si="1"/>
        <v>2022</v>
      </c>
    </row>
    <row r="23" spans="1:6" x14ac:dyDescent="0.3">
      <c r="A23" s="6">
        <v>44614</v>
      </c>
      <c r="B23" s="3" t="s">
        <v>4</v>
      </c>
      <c r="C23" t="s">
        <v>10</v>
      </c>
      <c r="D23">
        <v>90</v>
      </c>
      <c r="E23">
        <f t="shared" si="0"/>
        <v>2</v>
      </c>
      <c r="F23">
        <f t="shared" si="1"/>
        <v>2022</v>
      </c>
    </row>
    <row r="24" spans="1:6" x14ac:dyDescent="0.3">
      <c r="A24" s="6">
        <v>44615</v>
      </c>
      <c r="B24" s="3" t="s">
        <v>4</v>
      </c>
      <c r="C24" t="s">
        <v>12</v>
      </c>
      <c r="D24">
        <v>27</v>
      </c>
      <c r="E24">
        <f t="shared" si="0"/>
        <v>2</v>
      </c>
      <c r="F24">
        <f t="shared" si="1"/>
        <v>2022</v>
      </c>
    </row>
    <row r="25" spans="1:6" x14ac:dyDescent="0.3">
      <c r="A25" s="6">
        <v>44616</v>
      </c>
      <c r="B25" s="3" t="s">
        <v>4</v>
      </c>
      <c r="C25" t="s">
        <v>11</v>
      </c>
      <c r="D25">
        <v>150</v>
      </c>
      <c r="E25">
        <f t="shared" si="0"/>
        <v>2</v>
      </c>
      <c r="F25">
        <f t="shared" si="1"/>
        <v>2022</v>
      </c>
    </row>
    <row r="26" spans="1:6" x14ac:dyDescent="0.3">
      <c r="A26" s="6">
        <v>44617</v>
      </c>
      <c r="B26" s="3" t="s">
        <v>4</v>
      </c>
      <c r="C26" t="s">
        <v>12</v>
      </c>
      <c r="D26">
        <v>80</v>
      </c>
      <c r="E26">
        <f t="shared" si="0"/>
        <v>2</v>
      </c>
      <c r="F26">
        <f t="shared" si="1"/>
        <v>2022</v>
      </c>
    </row>
    <row r="27" spans="1:6" x14ac:dyDescent="0.3">
      <c r="A27" s="6">
        <v>44618</v>
      </c>
      <c r="B27" t="s">
        <v>4</v>
      </c>
      <c r="C27" t="s">
        <v>10</v>
      </c>
      <c r="D27">
        <v>15</v>
      </c>
      <c r="E27">
        <f t="shared" si="0"/>
        <v>2</v>
      </c>
      <c r="F27">
        <f t="shared" si="1"/>
        <v>2022</v>
      </c>
    </row>
    <row r="28" spans="1:6" x14ac:dyDescent="0.3">
      <c r="A28" s="6">
        <v>44619</v>
      </c>
      <c r="B28" t="s">
        <v>4</v>
      </c>
      <c r="C28" t="s">
        <v>10</v>
      </c>
      <c r="D28">
        <v>122</v>
      </c>
      <c r="E28">
        <f t="shared" si="0"/>
        <v>2</v>
      </c>
      <c r="F28">
        <f t="shared" si="1"/>
        <v>2022</v>
      </c>
    </row>
    <row r="29" spans="1:6" x14ac:dyDescent="0.3">
      <c r="A29" s="6">
        <v>44620</v>
      </c>
      <c r="B29" t="s">
        <v>4</v>
      </c>
      <c r="C29" t="s">
        <v>12</v>
      </c>
      <c r="D29">
        <v>125</v>
      </c>
      <c r="E29">
        <f t="shared" si="0"/>
        <v>2</v>
      </c>
      <c r="F29">
        <f t="shared" si="1"/>
        <v>2022</v>
      </c>
    </row>
    <row r="30" spans="1:6" x14ac:dyDescent="0.3">
      <c r="A30" s="6">
        <v>44621</v>
      </c>
      <c r="B30" s="3" t="s">
        <v>3</v>
      </c>
      <c r="C30" t="s">
        <v>11</v>
      </c>
      <c r="D30">
        <v>500</v>
      </c>
      <c r="E30">
        <f t="shared" ref="E30:E37" si="4">MONTH(A30)</f>
        <v>3</v>
      </c>
      <c r="F30">
        <f t="shared" ref="F30:F40" si="5">YEAR(A30)</f>
        <v>2022</v>
      </c>
    </row>
    <row r="31" spans="1:6" x14ac:dyDescent="0.3">
      <c r="A31" s="6">
        <v>44622</v>
      </c>
      <c r="B31" t="s">
        <v>4</v>
      </c>
      <c r="C31" t="s">
        <v>10</v>
      </c>
      <c r="D31">
        <v>400</v>
      </c>
      <c r="E31">
        <f t="shared" si="4"/>
        <v>3</v>
      </c>
      <c r="F31">
        <f t="shared" si="5"/>
        <v>2022</v>
      </c>
    </row>
    <row r="32" spans="1:6" x14ac:dyDescent="0.3">
      <c r="A32" s="6">
        <v>44623</v>
      </c>
      <c r="B32" t="s">
        <v>4</v>
      </c>
      <c r="C32" t="s">
        <v>12</v>
      </c>
      <c r="D32">
        <v>80</v>
      </c>
      <c r="E32">
        <f t="shared" si="4"/>
        <v>3</v>
      </c>
      <c r="F32">
        <f t="shared" si="5"/>
        <v>2022</v>
      </c>
    </row>
    <row r="33" spans="1:6" x14ac:dyDescent="0.3">
      <c r="A33" s="6">
        <v>44624</v>
      </c>
      <c r="B33" t="s">
        <v>4</v>
      </c>
      <c r="C33" t="s">
        <v>10</v>
      </c>
      <c r="D33">
        <v>50</v>
      </c>
      <c r="E33">
        <f t="shared" si="4"/>
        <v>3</v>
      </c>
      <c r="F33">
        <f t="shared" si="5"/>
        <v>2022</v>
      </c>
    </row>
    <row r="34" spans="1:6" x14ac:dyDescent="0.3">
      <c r="A34" s="6">
        <v>44625</v>
      </c>
      <c r="B34" t="s">
        <v>4</v>
      </c>
      <c r="C34" t="s">
        <v>9</v>
      </c>
      <c r="D34">
        <v>50</v>
      </c>
      <c r="E34">
        <f t="shared" si="4"/>
        <v>3</v>
      </c>
      <c r="F34">
        <f t="shared" si="5"/>
        <v>2022</v>
      </c>
    </row>
    <row r="35" spans="1:6" x14ac:dyDescent="0.3">
      <c r="A35" s="6">
        <v>44626</v>
      </c>
      <c r="B35" t="s">
        <v>4</v>
      </c>
      <c r="C35" t="s">
        <v>10</v>
      </c>
      <c r="D35">
        <v>15</v>
      </c>
      <c r="E35">
        <f t="shared" si="4"/>
        <v>3</v>
      </c>
      <c r="F35">
        <f t="shared" si="5"/>
        <v>2022</v>
      </c>
    </row>
    <row r="36" spans="1:6" x14ac:dyDescent="0.3">
      <c r="A36" s="6">
        <v>44627</v>
      </c>
      <c r="B36" t="s">
        <v>4</v>
      </c>
      <c r="C36" t="s">
        <v>10</v>
      </c>
      <c r="D36">
        <v>20</v>
      </c>
      <c r="E36">
        <f t="shared" si="4"/>
        <v>3</v>
      </c>
      <c r="F36">
        <f t="shared" si="5"/>
        <v>2022</v>
      </c>
    </row>
    <row r="37" spans="1:6" x14ac:dyDescent="0.3">
      <c r="A37" s="6">
        <v>44628</v>
      </c>
      <c r="B37" t="s">
        <v>4</v>
      </c>
      <c r="C37" t="s">
        <v>9</v>
      </c>
      <c r="D37">
        <v>80</v>
      </c>
      <c r="E37">
        <f t="shared" si="4"/>
        <v>3</v>
      </c>
      <c r="F37">
        <f t="shared" si="5"/>
        <v>2022</v>
      </c>
    </row>
    <row r="38" spans="1:6" x14ac:dyDescent="0.3">
      <c r="A38" s="6">
        <v>44629</v>
      </c>
      <c r="B38" t="s">
        <v>4</v>
      </c>
      <c r="C38" t="s">
        <v>9</v>
      </c>
      <c r="D38">
        <v>80</v>
      </c>
      <c r="E38">
        <f t="shared" ref="E38:E40" si="6">MONTH(A38)</f>
        <v>3</v>
      </c>
      <c r="F38">
        <f t="shared" si="5"/>
        <v>2022</v>
      </c>
    </row>
    <row r="39" spans="1:6" x14ac:dyDescent="0.3">
      <c r="A39" s="6">
        <v>44630</v>
      </c>
      <c r="B39" t="s">
        <v>4</v>
      </c>
      <c r="C39" t="s">
        <v>8</v>
      </c>
      <c r="D39">
        <v>300</v>
      </c>
      <c r="E39">
        <f t="shared" si="6"/>
        <v>3</v>
      </c>
      <c r="F39">
        <f t="shared" si="5"/>
        <v>2022</v>
      </c>
    </row>
    <row r="40" spans="1:6" x14ac:dyDescent="0.3">
      <c r="A40" s="6">
        <v>44631</v>
      </c>
      <c r="B40" s="3" t="s">
        <v>3</v>
      </c>
      <c r="C40" t="s">
        <v>5</v>
      </c>
      <c r="D40">
        <v>1500</v>
      </c>
      <c r="E40">
        <f t="shared" si="6"/>
        <v>3</v>
      </c>
      <c r="F40">
        <f t="shared" si="5"/>
        <v>2022</v>
      </c>
    </row>
    <row r="41" spans="1:6" x14ac:dyDescent="0.3">
      <c r="A41" s="6">
        <v>44632</v>
      </c>
      <c r="B41" t="s">
        <v>4</v>
      </c>
      <c r="C41" t="s">
        <v>10</v>
      </c>
      <c r="D41">
        <v>25</v>
      </c>
      <c r="E41">
        <v>3</v>
      </c>
      <c r="F41">
        <v>2022</v>
      </c>
    </row>
    <row r="42" spans="1:6" x14ac:dyDescent="0.3">
      <c r="A42" s="4">
        <v>44691</v>
      </c>
      <c r="B42" t="s">
        <v>4</v>
      </c>
      <c r="C42" t="s">
        <v>8</v>
      </c>
      <c r="D42">
        <v>350</v>
      </c>
      <c r="E42">
        <v>5</v>
      </c>
      <c r="F42">
        <v>2022</v>
      </c>
    </row>
    <row r="43" spans="1:6" x14ac:dyDescent="0.3">
      <c r="A43" s="4">
        <v>44682</v>
      </c>
      <c r="B43" s="3" t="s">
        <v>3</v>
      </c>
      <c r="C43" t="s">
        <v>5</v>
      </c>
      <c r="D43">
        <v>1000</v>
      </c>
      <c r="E43">
        <v>5</v>
      </c>
      <c r="F43">
        <v>2022</v>
      </c>
    </row>
    <row r="44" spans="1:6" x14ac:dyDescent="0.3">
      <c r="A44" s="4">
        <v>44682</v>
      </c>
      <c r="B44" s="3" t="s">
        <v>3</v>
      </c>
      <c r="C44" t="s">
        <v>11</v>
      </c>
      <c r="D44">
        <v>100</v>
      </c>
      <c r="E44">
        <v>5</v>
      </c>
      <c r="F44">
        <v>2022</v>
      </c>
    </row>
    <row r="45" spans="1:6" x14ac:dyDescent="0.3">
      <c r="A45" s="4">
        <v>44774</v>
      </c>
      <c r="B45" s="3" t="s">
        <v>3</v>
      </c>
      <c r="C45" t="s">
        <v>5</v>
      </c>
      <c r="D45">
        <v>1000</v>
      </c>
      <c r="E45">
        <v>8</v>
      </c>
      <c r="F45">
        <v>2022</v>
      </c>
    </row>
    <row r="46" spans="1:6" x14ac:dyDescent="0.3">
      <c r="A46" s="4">
        <v>44774</v>
      </c>
      <c r="B46" t="s">
        <v>4</v>
      </c>
      <c r="C46" t="s">
        <v>8</v>
      </c>
      <c r="D46">
        <v>350</v>
      </c>
      <c r="E46">
        <v>8</v>
      </c>
      <c r="F46">
        <v>2022</v>
      </c>
    </row>
    <row r="47" spans="1:6" x14ac:dyDescent="0.3">
      <c r="A47" s="4">
        <v>44805</v>
      </c>
      <c r="B47" s="3" t="s">
        <v>3</v>
      </c>
      <c r="C47" t="s">
        <v>5</v>
      </c>
      <c r="D47">
        <v>1000</v>
      </c>
      <c r="E47">
        <v>9</v>
      </c>
      <c r="F47">
        <v>2022</v>
      </c>
    </row>
    <row r="48" spans="1:6" x14ac:dyDescent="0.3">
      <c r="A48" s="4">
        <v>44805</v>
      </c>
      <c r="B48" t="s">
        <v>4</v>
      </c>
      <c r="C48" t="s">
        <v>8</v>
      </c>
      <c r="D48">
        <v>350</v>
      </c>
      <c r="E48">
        <v>9</v>
      </c>
      <c r="F48">
        <v>2022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totals</vt:lpstr>
      <vt:lpstr>credit_debit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Katsani Korina</dc:creator>
  <cp:lastModifiedBy>Katsani Korina</cp:lastModifiedBy>
  <dcterms:created xsi:type="dcterms:W3CDTF">2022-05-24T11:59:15Z</dcterms:created>
  <dcterms:modified xsi:type="dcterms:W3CDTF">2022-05-28T04:21:25Z</dcterms:modified>
</cp:coreProperties>
</file>